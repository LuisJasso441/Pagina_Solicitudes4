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gistros de Tickets" sheetId="1" r:id="rId4"/>
    <sheet name="Estadísticas y Gráficas" sheetId="2" r:id="rId5"/>
  </sheets>
  <definedNames>
    <definedName name="_xlnm._FilterDatabase" localSheetId="0" hidden="1">'Registros de Tickets'!$A$1:$L$23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<sst xmlns="http://schemas.openxmlformats.org/spreadsheetml/2006/main" uniqueCount="130">
  <si>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Folio</t>
  </si>
  <si>
    <t>Nombre del Solicitante</t>
  </si>
  <si>
    <t>Departamento</t>
  </si>
  <si>
    <t>Tipo de Soporte</t>
  </si>
  <si>
    <t>Tipo de Apoyo/Problema</t>
  </si>
  <si>
    <t>Descripción</t>
  </si>
  <si>
    <t>Prioridad</t>
  </si>
  <si>
    <t>Estado</t>
  </si>
  <si>
    <t>Fecha de Creación</t>
  </si>
  <si>
    <t>Fecha de Finalización</t>
  </si>
  <si>
    <t>Tiempo de Resolución</t>
  </si>
  <si>
    <t>Atendido por</t>
  </si>
  <si>
    <t>SOL-20260127-9A8936</t>
  </si>
  <si>
    <t>Gerente Normativo</t>
  </si>
  <si>
    <t>Normatividad</t>
  </si>
  <si>
    <t>Apoyo</t>
  </si>
  <si>
    <t>Acceso a carpetas compartidas</t>
  </si>
  <si>
    <t>Ya no quiero seguir haciendo más pruebas, ya me aburrí</t>
  </si>
  <si>
    <t>Critica</t>
  </si>
  <si>
    <t>Finalizada</t>
  </si>
  <si>
    <t>27/01/2026 11:59</t>
  </si>
  <si>
    <t>27/01/2026 12:01</t>
  </si>
  <si>
    <t>1 min</t>
  </si>
  <si>
    <t>Luis Jasso</t>
  </si>
  <si>
    <t>SOL-20260126-1040A4</t>
  </si>
  <si>
    <t>Acceso a contenido web no visible</t>
  </si>
  <si>
    <t>Segunda prueba de funcionamiento de sistema</t>
  </si>
  <si>
    <t>Alta</t>
  </si>
  <si>
    <t>26/01/2026 12:53</t>
  </si>
  <si>
    <t>26/01/2026 12:55</t>
  </si>
  <si>
    <t>2 min</t>
  </si>
  <si>
    <t>SOL-20260126-86D4BB</t>
  </si>
  <si>
    <t>Reemplazo de Pilas</t>
  </si>
  <si>
    <t>Prueba de funcionamiento</t>
  </si>
  <si>
    <t>26/01/2026 12:14</t>
  </si>
  <si>
    <t>26/01/2026 12:34</t>
  </si>
  <si>
    <t>19 min</t>
  </si>
  <si>
    <t>SOL-20260124-DB0703</t>
  </si>
  <si>
    <t>Impresión a color</t>
  </si>
  <si>
    <t>Prueba del nuevo funcionamiento del sistema</t>
  </si>
  <si>
    <t>Pendiente</t>
  </si>
  <si>
    <t>24/01/2026 12:27</t>
  </si>
  <si>
    <t>SOL-20260124-143F50</t>
  </si>
  <si>
    <t>Capacitación</t>
  </si>
  <si>
    <t>Esto es una prueba del nuevo sistema</t>
  </si>
  <si>
    <t>24/01/2026 12:25</t>
  </si>
  <si>
    <t>SOL-20260113-7BF006</t>
  </si>
  <si>
    <t>Carlos</t>
  </si>
  <si>
    <t>Calidad</t>
  </si>
  <si>
    <t>Cambios AJUSTES predeterminados</t>
  </si>
  <si>
    <t>ESTO ES UNA PRUEBA</t>
  </si>
  <si>
    <t>En Proceso</t>
  </si>
  <si>
    <t>13/01/2026 09:16</t>
  </si>
  <si>
    <t>SOL-20260105-7E73CB</t>
  </si>
  <si>
    <t>prueba</t>
  </si>
  <si>
    <t>Media</t>
  </si>
  <si>
    <t>05/01/2026 11:31</t>
  </si>
  <si>
    <t>05/01/2026 11:35</t>
  </si>
  <si>
    <t>3 min</t>
  </si>
  <si>
    <t>SOL-20251211-EBA3F1</t>
  </si>
  <si>
    <t>Problema</t>
  </si>
  <si>
    <t>Error de Red - Sin internet</t>
  </si>
  <si>
    <t>PRUEBA DE FUNCIONAMIENTO</t>
  </si>
  <si>
    <t>11/12/2025 10:01</t>
  </si>
  <si>
    <t>SOL-20251208-406AFD</t>
  </si>
  <si>
    <t>08/12/2025 14:07</t>
  </si>
  <si>
    <t>SOL-20251204-F0EE3E</t>
  </si>
  <si>
    <t>Dante</t>
  </si>
  <si>
    <t>Solicitud de Respaldo</t>
  </si>
  <si>
    <t>prueba1</t>
  </si>
  <si>
    <t>Baja</t>
  </si>
  <si>
    <t>04/12/2025 10:01</t>
  </si>
  <si>
    <t>04/12/2025 10:07</t>
  </si>
  <si>
    <t>6 min</t>
  </si>
  <si>
    <t>SOL-20251204-5A9156</t>
  </si>
  <si>
    <t>Solicitud/Actualización de información</t>
  </si>
  <si>
    <t>04/12/2025 10:00</t>
  </si>
  <si>
    <t>SOL-20251126-149D51</t>
  </si>
  <si>
    <t>Juan Carlos</t>
  </si>
  <si>
    <t>Laboratorio</t>
  </si>
  <si>
    <t>prueba general</t>
  </si>
  <si>
    <t>26/11/2025 11:25</t>
  </si>
  <si>
    <t>26/11/2025 11:26</t>
  </si>
  <si>
    <t>SOL-20251118-062DAC</t>
  </si>
  <si>
    <t>Cambio de toner</t>
  </si>
  <si>
    <t>Cancelada</t>
  </si>
  <si>
    <t>18/11/2025 09:59</t>
  </si>
  <si>
    <t>SOL-20251113-93DA22</t>
  </si>
  <si>
    <t>Revisión de teléfono RED</t>
  </si>
  <si>
    <t>13/11/2025 12:37</t>
  </si>
  <si>
    <t>SOL-20251112-9A9BE4</t>
  </si>
  <si>
    <t>Preparar sala de Juntas</t>
  </si>
  <si>
    <t>PRUEBA DE ABURRIMIENTO</t>
  </si>
  <si>
    <t>12/11/2025 16:09</t>
  </si>
  <si>
    <t>SOL-20251107-A5311A</t>
  </si>
  <si>
    <t>SEGUNDA PRUEBA DE FUNCIONAMIENTO</t>
  </si>
  <si>
    <t>07/11/2025 12:08</t>
  </si>
  <si>
    <t>SOL-20251107-BB5138</t>
  </si>
  <si>
    <t>PRUEBA PARA COMPROBAR FUNCIONAMIENTO</t>
  </si>
  <si>
    <t>07/11/2025 11:27</t>
  </si>
  <si>
    <t>SOL-20251104-0DE376</t>
  </si>
  <si>
    <t>04/11/2025 13:20</t>
  </si>
  <si>
    <t>Mismo momento</t>
  </si>
  <si>
    <t>SOL-20251017-EC76DB</t>
  </si>
  <si>
    <t>No puedo acceder al correo</t>
  </si>
  <si>
    <t>PRUEBA SIN BOTON</t>
  </si>
  <si>
    <t>17/10/2025 10:59</t>
  </si>
  <si>
    <t>17/10/2025 11:03</t>
  </si>
  <si>
    <t>4 min</t>
  </si>
  <si>
    <t>SOL-20251016-FCBC8F</t>
  </si>
  <si>
    <t>Roberto</t>
  </si>
  <si>
    <t>Atención a Clientes</t>
  </si>
  <si>
    <t>PRUEBA3</t>
  </si>
  <si>
    <t>16/10/2025 14:34</t>
  </si>
  <si>
    <t>40 día(s), 20 hora(s), 51 min</t>
  </si>
  <si>
    <t>SOL-20251016-F365AF</t>
  </si>
  <si>
    <t>PRUEBA2</t>
  </si>
  <si>
    <t>20 hora(s), 28 min</t>
  </si>
  <si>
    <t>SOL-20251016-945E72</t>
  </si>
  <si>
    <t>Copia de Archivos en CD/DVD/USB</t>
  </si>
  <si>
    <t>PRUBEA</t>
  </si>
  <si>
    <t>16/10/2025 14:24</t>
  </si>
  <si>
    <t>SOLICITUDES POR ESTADO</t>
  </si>
  <si>
    <t>Cantidad</t>
  </si>
  <si>
    <t>TOTAL</t>
  </si>
  <si>
    <t>SOLICITUDES POR DEPARTAMENTO</t>
  </si>
  <si>
    <t>SOLICITUDES POR TIPO DE SOPORTE</t>
  </si>
  <si>
    <t>Tipo</t>
  </si>
  <si>
    <t>SOLICITUDES ATENDIDAS POR TÉCNICO</t>
  </si>
  <si>
    <t>Técnico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</si>
</sst>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98754"/>
        <bgColor rgb="FF000000"/>
      </patternFill>
    </fill>
    <fill>
      <patternFill patternType="solid">
        <fgColor rgb="FFF8F9FA"/>
        <bgColor rgb="FF000000"/>
      </patternFill>
    </fill>
    <fill>
      <patternFill patternType="solid">
        <fgColor rgb="FF0D6EFD"/>
        <bgColor rgb="FF000000"/>
      </patternFill>
    </fill>
    <fill>
      <patternFill patternType="solid">
        <fgColor rgb="FFE9ECE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0"/>
    <xf xfId="0" fontId="0" numFmtId="0" fillId="0" borderId="1" applyFont="0" applyNumberFormat="0" applyFill="0" applyBorder="1" applyAlignment="0"/>
    <xf xfId="0" fontId="2" numFmtId="0" fillId="4" borderId="1" applyFont="1" applyNumberFormat="0" applyFill="1" applyBorder="1" applyAlignment="1">
      <alignment horizontal="center" vertical="center" textRotation="0" wrapText="false" shrinkToFit="false"/>
    </xf>
    <xf xfId="0" fontId="3" numFmtId="0" fillId="5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Solicitudes por Estado</a:t>
            </a:r>
          </a:p>
        </c:rich>
      </c:tx>
      <c:layout/>
      <c:overlay val="0"/>
    </c:title>
    <c:autoTitleDeleted val="0"/>
    <c:view3D/>
    <c:plotArea>
      <c:layout>
        <c:manualLayout/>
      </c:layout>
      <c:pieChart>
        <c:varyColors val="1"/>
        <c:ser>
          <c:idx val="0"/>
          <c:order val="0"/>
          <c:tx>
            <c:strRef>
              <c:f>'Estadísticas y Gráficas'!$B$2</c:f>
              <c:strCache>
                <c:ptCount val="1"/>
                <c:pt idx="0">
                  <c:v>Cantidad</c:v>
                </c:pt>
              </c:strCache>
            </c:strRef>
          </c:tx>
          <c:spPr>
            <a:ln/>
          </c:spPr>
          <c:cat>
            <c:strRef>
              <c:f>'Estadísticas y Gráficas'!$A$3:$A$6</c:f>
              <c:strCache>
                <c:ptCount val="4"/>
                <c:pt idx="0">
                  <c:v>Pendiente</c:v>
                </c:pt>
                <c:pt idx="1">
                  <c:v>En Proceso</c:v>
                </c:pt>
                <c:pt idx="2">
                  <c:v>Finalizada</c:v>
                </c:pt>
                <c:pt idx="3">
                  <c:v>Cancelada</c:v>
                </c:pt>
              </c:strCache>
            </c:strRef>
          </c:cat>
          <c:val>
            <c:numRef>
              <c:f>'Estadísticas y Gráficas'!$B$3:$B$6</c:f>
              <c:numCache>
                <c:ptCount val="4"/>
                <c:pt idx="0">
                  <c:v>6</c:v>
                </c:pt>
                <c:pt idx="1">
                  <c:v>3</c:v>
                </c:pt>
                <c:pt idx="2">
                  <c:v>10</c:v>
                </c:pt>
                <c:pt idx="3">
                  <c:v>3</c:v>
                </c:pt>
              </c:numCache>
            </c:numRef>
          </c:val>
        </c:ser>
        <c:dLbls>
          <c:showVal val="1"/>
          <c:showPercent val="1"/>
        </c:dLbls>
        <c:firstSliceAng val="0"/>
      </c:pie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Solicitudes por Departamento</a:t>
            </a:r>
          </a:p>
        </c:rich>
      </c:tx>
      <c:layout/>
      <c:overlay val="0"/>
    </c:title>
    <c:autoTitleDeleted val="0"/>
    <c:view3D/>
    <c:plotArea>
      <c:layout/>
      <c:barChart>
        <c:barDir val="col"/>
        <c:grouping val="standard"/>
        <c:varyColors val="0"/>
        <c:ser>
          <c:idx val="0"/>
          <c:order val="0"/>
          <c:tx>
            <c:strRef>
              <c:f>'Estadísticas y Gráficas'!$B$11</c:f>
              <c:strCache>
                <c:ptCount val="1"/>
                <c:pt idx="0">
                  <c:v>Cantidad</c:v>
                </c:pt>
              </c:strCache>
            </c:strRef>
          </c:tx>
          <c:spPr>
            <a:ln/>
          </c:spPr>
          <c:invertIfNegative val="0"/>
          <c:cat>
            <c:strRef>
              <c:f>'Estadísticas y Gráficas'!$A$12:$A$15</c:f>
              <c:strCache>
                <c:ptCount val="4"/>
                <c:pt idx="0">
                  <c:v>Normatividad</c:v>
                </c:pt>
                <c:pt idx="1">
                  <c:v>Laboratorio</c:v>
                </c:pt>
                <c:pt idx="2">
                  <c:v>Atención a Clientes</c:v>
                </c:pt>
                <c:pt idx="3">
                  <c:v>Calidad</c:v>
                </c:pt>
              </c:strCache>
            </c:strRef>
          </c:cat>
          <c:val>
            <c:numRef>
              <c:f>'Estadísticas y Gráficas'!$B$12:$B$15</c:f>
              <c:numCache>
                <c:ptCount val="4"/>
                <c:pt idx="0">
                  <c:v>12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b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Tipo de Soporte</a:t>
            </a:r>
          </a:p>
        </c:rich>
      </c:tx>
      <c:layout/>
      <c:overlay val="0"/>
    </c:title>
    <c:autoTitleDeleted val="0"/>
    <c:view3D/>
    <c:plotArea>
      <c:layout>
        <c:manualLayout/>
      </c:layout>
      <c:pieChart>
        <c:varyColors val="1"/>
        <c:ser>
          <c:idx val="0"/>
          <c:order val="0"/>
          <c:tx>
            <c:strRef>
              <c:f>'Estadísticas y Gráficas'!$B$20</c:f>
              <c:strCache>
                <c:ptCount val="1"/>
                <c:pt idx="0">
                  <c:v>Cantidad</c:v>
                </c:pt>
              </c:strCache>
            </c:strRef>
          </c:tx>
          <c:spPr>
            <a:ln/>
          </c:spPr>
          <c:cat>
            <c:strRef>
              <c:f>'Estadísticas y Gráficas'!$A$21:$A$22</c:f>
              <c:strCache>
                <c:ptCount val="2"/>
                <c:pt idx="0">
                  <c:v>Apoyo</c:v>
                </c:pt>
                <c:pt idx="1">
                  <c:v>Problema</c:v>
                </c:pt>
              </c:strCache>
            </c:strRef>
          </c:cat>
          <c:val>
            <c:numRef>
              <c:f>'Estadísticas y Gráficas'!$B$21:$B$22</c:f>
              <c:numCache>
                <c:ptCount val="2"/>
                <c:pt idx="0">
                  <c:v>13</c:v>
                </c:pt>
                <c:pt idx="1">
                  <c:v>9</c:v>
                </c:pt>
              </c:numCache>
            </c:numRef>
          </c:val>
        </c:ser>
        <c:dLbls>
          <c:showVal val="1"/>
          <c:showPercent val="1"/>
        </c:dLbls>
        <c:firstSliceAng val="0"/>
      </c:pie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Solicitudes Atendidas por Técnico</a:t>
            </a:r>
          </a:p>
        </c:rich>
      </c:tx>
      <c:layout/>
      <c:overlay val="0"/>
    </c:title>
    <c:autoTitleDeleted val="0"/>
    <c:view3D/>
    <c:plotArea>
      <c:layout/>
      <c:barChart>
        <c:barDir val="bar"/>
        <c:grouping val="standard"/>
        <c:varyColors val="0"/>
        <c:ser>
          <c:idx val="0"/>
          <c:order val="0"/>
          <c:tx>
            <c:strRef>
              <c:f>'Estadísticas y Gráficas'!$B$27</c:f>
              <c:strCache>
                <c:ptCount val="1"/>
                <c:pt idx="0">
                  <c:v>Cantidad</c:v>
                </c:pt>
              </c:strCache>
            </c:strRef>
          </c:tx>
          <c:spPr>
            <a:ln/>
          </c:spPr>
          <c:invertIfNegative val="0"/>
          <c:cat>
            <c:strRef>
              <c:f>'Estadísticas y Gráficas'!$A$28:$A$28</c:f>
              <c:strCache>
                <c:ptCount val="1"/>
                <c:pt idx="0">
                  <c:v>Luis Jasso</c:v>
                </c:pt>
              </c:strCache>
            </c:strRef>
          </c:cat>
          <c:val>
            <c:numRef>
              <c:f>'Estadísticas y Gráficas'!$B$28:$B$28</c:f>
              <c:numCache>
                <c:ptCount val="1"/>
                <c:pt idx="0">
                  <c:v>17</c:v>
                </c:pt>
              </c:numCache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b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95250</xdr:colOff>
      <xdr:row>15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95250</xdr:colOff>
      <xdr:row>34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</xdr:row>
      <xdr:rowOff>0</xdr:rowOff>
    </xdr:from>
    <xdr:to>
      <xdr:col>18</xdr:col>
      <xdr:colOff>95250</xdr:colOff>
      <xdr:row>15</xdr:row>
      <xdr:rowOff>95250</xdr:rowOff>
    </xdr:to>
    <xdr:graphicFrame macro="">
      <xdr:nvGraphicFramePr>
        <xdr:cNvPr name="Chart 3" id="3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17</xdr:row>
      <xdr:rowOff>0</xdr:rowOff>
    </xdr:from>
    <xdr:to>
      <xdr:col>18</xdr:col>
      <xdr:colOff>95250</xdr:colOff>
      <xdr:row>34</xdr:row>
      <xdr:rowOff>95250</xdr:rowOff>
    </xdr:to>
    <xdr:graphicFrame macro="">
      <xdr:nvGraphicFramePr>
        <xdr:cNvPr name="Chart 4" id="41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L23"/>
  <sheetViews>
    <sheetView tabSelected="1" workbookViewId="0" showGridLines="true" showRowColHeaders="1">
      <pane ySplit="1" activePane="bottomLeft" state="frozen" topLeftCell="A2"/>
      <selection pane="bottomLeft" activeCell="A23" sqref="A23:L23"/>
    </sheetView>
  </sheetViews>
  <sheetFormatPr defaultRowHeight="14.4" outlineLevelRow="0" outlineLevelCol="0"/>
  <cols>
    <col min="1" max="1" width="22" customWidth="true" style="0"/>
    <col min="2" max="2" width="25" customWidth="true" style="0"/>
    <col min="3" max="3" width="18" customWidth="true" style="0"/>
    <col min="4" max="4" width="14" customWidth="true" style="0"/>
    <col min="5" max="5" width="30" customWidth="true" style="0"/>
    <col min="6" max="6" width="40" customWidth="true" style="0"/>
    <col min="7" max="7" width="12" customWidth="true" style="0"/>
    <col min="8" max="8" width="14" customWidth="true" style="0"/>
    <col min="9" max="9" width="18" customWidth="true" style="0"/>
    <col min="10" max="10" width="18" customWidth="true" style="0"/>
    <col min="11" max="11" width="20" customWidth="true" style="0"/>
    <col min="12" max="12" width="20" customWidth="true" style="0"/>
  </cols>
  <sheetData>
    <row r="1" spans="1:12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>
      <c r="A3" s="3" t="s">
        <v>24</v>
      </c>
      <c r="B3" s="3" t="s">
        <v>13</v>
      </c>
      <c r="C3" s="3" t="s">
        <v>14</v>
      </c>
      <c r="D3" s="3" t="s">
        <v>15</v>
      </c>
      <c r="E3" s="3" t="s">
        <v>25</v>
      </c>
      <c r="F3" s="3" t="s">
        <v>26</v>
      </c>
      <c r="G3" s="3" t="s">
        <v>27</v>
      </c>
      <c r="H3" s="3" t="s">
        <v>19</v>
      </c>
      <c r="I3" s="3" t="s">
        <v>28</v>
      </c>
      <c r="J3" s="3" t="s">
        <v>29</v>
      </c>
      <c r="K3" s="3" t="s">
        <v>30</v>
      </c>
      <c r="L3" s="3" t="s">
        <v>23</v>
      </c>
    </row>
    <row r="4" spans="1:12">
      <c r="A4" s="2" t="s">
        <v>31</v>
      </c>
      <c r="B4" s="2" t="s">
        <v>13</v>
      </c>
      <c r="C4" s="2" t="s">
        <v>14</v>
      </c>
      <c r="D4" s="2" t="s">
        <v>15</v>
      </c>
      <c r="E4" s="2" t="s">
        <v>32</v>
      </c>
      <c r="F4" s="2" t="s">
        <v>33</v>
      </c>
      <c r="G4" s="2" t="s">
        <v>18</v>
      </c>
      <c r="H4" s="2" t="s">
        <v>19</v>
      </c>
      <c r="I4" s="2" t="s">
        <v>34</v>
      </c>
      <c r="J4" s="2" t="s">
        <v>35</v>
      </c>
      <c r="K4" s="2" t="s">
        <v>36</v>
      </c>
      <c r="L4" s="2" t="s">
        <v>23</v>
      </c>
    </row>
    <row r="5" spans="1:12">
      <c r="A5" s="3" t="s">
        <v>37</v>
      </c>
      <c r="B5" s="3" t="s">
        <v>13</v>
      </c>
      <c r="C5" s="3" t="s">
        <v>14</v>
      </c>
      <c r="D5" s="3" t="s">
        <v>15</v>
      </c>
      <c r="E5" s="3" t="s">
        <v>38</v>
      </c>
      <c r="F5" s="3" t="s">
        <v>39</v>
      </c>
      <c r="G5" s="3" t="s">
        <v>27</v>
      </c>
      <c r="H5" s="3" t="s">
        <v>40</v>
      </c>
      <c r="I5" s="3" t="s">
        <v>41</v>
      </c>
      <c r="J5" s="3"/>
      <c r="K5" s="3"/>
      <c r="L5" s="3"/>
    </row>
    <row r="6" spans="1:12">
      <c r="A6" s="2" t="s">
        <v>42</v>
      </c>
      <c r="B6" s="2" t="s">
        <v>13</v>
      </c>
      <c r="C6" s="2" t="s">
        <v>14</v>
      </c>
      <c r="D6" s="2" t="s">
        <v>15</v>
      </c>
      <c r="E6" s="2" t="s">
        <v>43</v>
      </c>
      <c r="F6" s="2" t="s">
        <v>44</v>
      </c>
      <c r="G6" s="2" t="s">
        <v>18</v>
      </c>
      <c r="H6" s="2" t="s">
        <v>40</v>
      </c>
      <c r="I6" s="2" t="s">
        <v>45</v>
      </c>
      <c r="J6" s="2"/>
      <c r="K6" s="2"/>
      <c r="L6" s="2"/>
    </row>
    <row r="7" spans="1:12">
      <c r="A7" s="3" t="s">
        <v>46</v>
      </c>
      <c r="B7" s="3" t="s">
        <v>47</v>
      </c>
      <c r="C7" s="3" t="s">
        <v>48</v>
      </c>
      <c r="D7" s="3" t="s">
        <v>15</v>
      </c>
      <c r="E7" s="3" t="s">
        <v>49</v>
      </c>
      <c r="F7" s="3" t="s">
        <v>50</v>
      </c>
      <c r="G7" s="3" t="s">
        <v>18</v>
      </c>
      <c r="H7" s="3" t="s">
        <v>51</v>
      </c>
      <c r="I7" s="3" t="s">
        <v>52</v>
      </c>
      <c r="J7" s="3"/>
      <c r="K7" s="3"/>
      <c r="L7" s="3" t="s">
        <v>23</v>
      </c>
    </row>
    <row r="8" spans="1:12">
      <c r="A8" s="2" t="s">
        <v>53</v>
      </c>
      <c r="B8" s="2" t="s">
        <v>13</v>
      </c>
      <c r="C8" s="2" t="s">
        <v>14</v>
      </c>
      <c r="D8" s="2" t="s">
        <v>15</v>
      </c>
      <c r="E8" s="2" t="s">
        <v>49</v>
      </c>
      <c r="F8" s="2" t="s">
        <v>54</v>
      </c>
      <c r="G8" s="2" t="s">
        <v>55</v>
      </c>
      <c r="H8" s="2" t="s">
        <v>19</v>
      </c>
      <c r="I8" s="2" t="s">
        <v>56</v>
      </c>
      <c r="J8" s="2" t="s">
        <v>57</v>
      </c>
      <c r="K8" s="2" t="s">
        <v>58</v>
      </c>
      <c r="L8" s="2" t="s">
        <v>23</v>
      </c>
    </row>
    <row r="9" spans="1:12">
      <c r="A9" s="3" t="s">
        <v>59</v>
      </c>
      <c r="B9" s="3" t="s">
        <v>13</v>
      </c>
      <c r="C9" s="3" t="s">
        <v>14</v>
      </c>
      <c r="D9" s="3" t="s">
        <v>60</v>
      </c>
      <c r="E9" s="3" t="s">
        <v>61</v>
      </c>
      <c r="F9" s="3" t="s">
        <v>62</v>
      </c>
      <c r="G9" s="3" t="s">
        <v>27</v>
      </c>
      <c r="H9" s="3" t="s">
        <v>40</v>
      </c>
      <c r="I9" s="3" t="s">
        <v>63</v>
      </c>
      <c r="J9" s="3"/>
      <c r="K9" s="3"/>
      <c r="L9" s="3"/>
    </row>
    <row r="10" spans="1:12">
      <c r="A10" s="2" t="s">
        <v>64</v>
      </c>
      <c r="B10" s="2" t="s">
        <v>13</v>
      </c>
      <c r="C10" s="2" t="s">
        <v>14</v>
      </c>
      <c r="D10" s="2" t="s">
        <v>15</v>
      </c>
      <c r="E10" s="2" t="s">
        <v>38</v>
      </c>
      <c r="F10" s="2" t="s">
        <v>54</v>
      </c>
      <c r="G10" s="2" t="s">
        <v>55</v>
      </c>
      <c r="H10" s="2" t="s">
        <v>40</v>
      </c>
      <c r="I10" s="2" t="s">
        <v>65</v>
      </c>
      <c r="J10" s="2"/>
      <c r="K10" s="2"/>
      <c r="L10" s="2"/>
    </row>
    <row r="11" spans="1:12">
      <c r="A11" s="3" t="s">
        <v>66</v>
      </c>
      <c r="B11" s="3" t="s">
        <v>67</v>
      </c>
      <c r="C11" s="3" t="s">
        <v>14</v>
      </c>
      <c r="D11" s="3" t="s">
        <v>60</v>
      </c>
      <c r="E11" s="3" t="s">
        <v>68</v>
      </c>
      <c r="F11" s="3" t="s">
        <v>69</v>
      </c>
      <c r="G11" s="3" t="s">
        <v>70</v>
      </c>
      <c r="H11" s="3" t="s">
        <v>19</v>
      </c>
      <c r="I11" s="3" t="s">
        <v>71</v>
      </c>
      <c r="J11" s="3" t="s">
        <v>72</v>
      </c>
      <c r="K11" s="3" t="s">
        <v>73</v>
      </c>
      <c r="L11" s="3" t="s">
        <v>23</v>
      </c>
    </row>
    <row r="12" spans="1:12">
      <c r="A12" s="2" t="s">
        <v>74</v>
      </c>
      <c r="B12" s="2" t="s">
        <v>67</v>
      </c>
      <c r="C12" s="2" t="s">
        <v>14</v>
      </c>
      <c r="D12" s="2" t="s">
        <v>15</v>
      </c>
      <c r="E12" s="2" t="s">
        <v>75</v>
      </c>
      <c r="F12" s="2" t="s">
        <v>54</v>
      </c>
      <c r="G12" s="2" t="s">
        <v>18</v>
      </c>
      <c r="H12" s="2" t="s">
        <v>40</v>
      </c>
      <c r="I12" s="2" t="s">
        <v>76</v>
      </c>
      <c r="J12" s="2"/>
      <c r="K12" s="2"/>
      <c r="L12" s="2" t="s">
        <v>23</v>
      </c>
    </row>
    <row r="13" spans="1:12">
      <c r="A13" s="3" t="s">
        <v>77</v>
      </c>
      <c r="B13" s="3" t="s">
        <v>78</v>
      </c>
      <c r="C13" s="3" t="s">
        <v>79</v>
      </c>
      <c r="D13" s="3" t="s">
        <v>15</v>
      </c>
      <c r="E13" s="3" t="s">
        <v>49</v>
      </c>
      <c r="F13" s="3" t="s">
        <v>80</v>
      </c>
      <c r="G13" s="3" t="s">
        <v>27</v>
      </c>
      <c r="H13" s="3" t="s">
        <v>19</v>
      </c>
      <c r="I13" s="3" t="s">
        <v>81</v>
      </c>
      <c r="J13" s="3" t="s">
        <v>82</v>
      </c>
      <c r="K13" s="3" t="s">
        <v>22</v>
      </c>
      <c r="L13" s="3" t="s">
        <v>23</v>
      </c>
    </row>
    <row r="14" spans="1:12">
      <c r="A14" s="2" t="s">
        <v>83</v>
      </c>
      <c r="B14" s="2" t="s">
        <v>78</v>
      </c>
      <c r="C14" s="2" t="s">
        <v>79</v>
      </c>
      <c r="D14" s="2" t="s">
        <v>60</v>
      </c>
      <c r="E14" s="2" t="s">
        <v>84</v>
      </c>
      <c r="F14" s="2" t="s">
        <v>62</v>
      </c>
      <c r="G14" s="2" t="s">
        <v>18</v>
      </c>
      <c r="H14" s="2" t="s">
        <v>85</v>
      </c>
      <c r="I14" s="2" t="s">
        <v>86</v>
      </c>
      <c r="J14" s="2"/>
      <c r="K14" s="2"/>
      <c r="L14" s="2" t="s">
        <v>23</v>
      </c>
    </row>
    <row r="15" spans="1:12">
      <c r="A15" s="3" t="s">
        <v>87</v>
      </c>
      <c r="B15" s="3" t="s">
        <v>13</v>
      </c>
      <c r="C15" s="3" t="s">
        <v>14</v>
      </c>
      <c r="D15" s="3" t="s">
        <v>60</v>
      </c>
      <c r="E15" s="3" t="s">
        <v>88</v>
      </c>
      <c r="F15" s="3" t="s">
        <v>62</v>
      </c>
      <c r="G15" s="3" t="s">
        <v>70</v>
      </c>
      <c r="H15" s="3" t="s">
        <v>40</v>
      </c>
      <c r="I15" s="3" t="s">
        <v>89</v>
      </c>
      <c r="J15" s="3"/>
      <c r="K15" s="3"/>
      <c r="L15" s="3"/>
    </row>
    <row r="16" spans="1:12">
      <c r="A16" s="2" t="s">
        <v>90</v>
      </c>
      <c r="B16" s="2" t="s">
        <v>13</v>
      </c>
      <c r="C16" s="2" t="s">
        <v>14</v>
      </c>
      <c r="D16" s="2" t="s">
        <v>15</v>
      </c>
      <c r="E16" s="2" t="s">
        <v>91</v>
      </c>
      <c r="F16" s="2" t="s">
        <v>92</v>
      </c>
      <c r="G16" s="2" t="s">
        <v>18</v>
      </c>
      <c r="H16" s="2" t="s">
        <v>85</v>
      </c>
      <c r="I16" s="2" t="s">
        <v>93</v>
      </c>
      <c r="J16" s="2"/>
      <c r="K16" s="2"/>
      <c r="L16" s="2" t="s">
        <v>23</v>
      </c>
    </row>
    <row r="17" spans="1:12">
      <c r="A17" s="3" t="s">
        <v>94</v>
      </c>
      <c r="B17" s="3" t="s">
        <v>78</v>
      </c>
      <c r="C17" s="3" t="s">
        <v>79</v>
      </c>
      <c r="D17" s="3" t="s">
        <v>60</v>
      </c>
      <c r="E17" s="3" t="s">
        <v>88</v>
      </c>
      <c r="F17" s="3" t="s">
        <v>95</v>
      </c>
      <c r="G17" s="3" t="s">
        <v>18</v>
      </c>
      <c r="H17" s="3" t="s">
        <v>51</v>
      </c>
      <c r="I17" s="3" t="s">
        <v>96</v>
      </c>
      <c r="J17" s="3"/>
      <c r="K17" s="3"/>
      <c r="L17" s="3" t="s">
        <v>23</v>
      </c>
    </row>
    <row r="18" spans="1:12">
      <c r="A18" s="2" t="s">
        <v>97</v>
      </c>
      <c r="B18" s="2" t="s">
        <v>78</v>
      </c>
      <c r="C18" s="2" t="s">
        <v>79</v>
      </c>
      <c r="D18" s="2" t="s">
        <v>15</v>
      </c>
      <c r="E18" s="2" t="s">
        <v>91</v>
      </c>
      <c r="F18" s="2" t="s">
        <v>98</v>
      </c>
      <c r="G18" s="2" t="s">
        <v>18</v>
      </c>
      <c r="H18" s="2" t="s">
        <v>51</v>
      </c>
      <c r="I18" s="2" t="s">
        <v>99</v>
      </c>
      <c r="J18" s="2"/>
      <c r="K18" s="2"/>
      <c r="L18" s="2" t="s">
        <v>23</v>
      </c>
    </row>
    <row r="19" spans="1:12">
      <c r="A19" s="3" t="s">
        <v>100</v>
      </c>
      <c r="B19" s="3" t="s">
        <v>78</v>
      </c>
      <c r="C19" s="3" t="s">
        <v>79</v>
      </c>
      <c r="D19" s="3" t="s">
        <v>60</v>
      </c>
      <c r="E19" s="3" t="s">
        <v>88</v>
      </c>
      <c r="F19" s="3" t="s">
        <v>62</v>
      </c>
      <c r="G19" s="3" t="s">
        <v>18</v>
      </c>
      <c r="H19" s="3" t="s">
        <v>19</v>
      </c>
      <c r="I19" s="3" t="s">
        <v>101</v>
      </c>
      <c r="J19" s="3" t="s">
        <v>101</v>
      </c>
      <c r="K19" s="3" t="s">
        <v>102</v>
      </c>
      <c r="L19" s="3" t="s">
        <v>23</v>
      </c>
    </row>
    <row r="20" spans="1:12">
      <c r="A20" s="2" t="s">
        <v>103</v>
      </c>
      <c r="B20" s="2" t="s">
        <v>47</v>
      </c>
      <c r="C20" s="2" t="s">
        <v>48</v>
      </c>
      <c r="D20" s="2" t="s">
        <v>60</v>
      </c>
      <c r="E20" s="2" t="s">
        <v>104</v>
      </c>
      <c r="F20" s="2" t="s">
        <v>105</v>
      </c>
      <c r="G20" s="2" t="s">
        <v>18</v>
      </c>
      <c r="H20" s="2" t="s">
        <v>19</v>
      </c>
      <c r="I20" s="2" t="s">
        <v>106</v>
      </c>
      <c r="J20" s="2" t="s">
        <v>107</v>
      </c>
      <c r="K20" s="2" t="s">
        <v>108</v>
      </c>
      <c r="L20" s="2" t="s">
        <v>23</v>
      </c>
    </row>
    <row r="21" spans="1:12">
      <c r="A21" s="3" t="s">
        <v>109</v>
      </c>
      <c r="B21" s="3" t="s">
        <v>110</v>
      </c>
      <c r="C21" s="3" t="s">
        <v>111</v>
      </c>
      <c r="D21" s="3" t="s">
        <v>60</v>
      </c>
      <c r="E21" s="3" t="s">
        <v>84</v>
      </c>
      <c r="F21" s="3" t="s">
        <v>112</v>
      </c>
      <c r="G21" s="3" t="s">
        <v>27</v>
      </c>
      <c r="H21" s="3" t="s">
        <v>19</v>
      </c>
      <c r="I21" s="3" t="s">
        <v>113</v>
      </c>
      <c r="J21" s="3" t="s">
        <v>82</v>
      </c>
      <c r="K21" s="3" t="s">
        <v>114</v>
      </c>
      <c r="L21" s="3" t="s">
        <v>23</v>
      </c>
    </row>
    <row r="22" spans="1:12">
      <c r="A22" s="2" t="s">
        <v>115</v>
      </c>
      <c r="B22" s="2" t="s">
        <v>110</v>
      </c>
      <c r="C22" s="2" t="s">
        <v>111</v>
      </c>
      <c r="D22" s="2" t="s">
        <v>60</v>
      </c>
      <c r="E22" s="2" t="s">
        <v>68</v>
      </c>
      <c r="F22" s="2" t="s">
        <v>116</v>
      </c>
      <c r="G22" s="2" t="s">
        <v>18</v>
      </c>
      <c r="H22" s="2" t="s">
        <v>19</v>
      </c>
      <c r="I22" s="2" t="s">
        <v>113</v>
      </c>
      <c r="J22" s="2" t="s">
        <v>107</v>
      </c>
      <c r="K22" s="2" t="s">
        <v>117</v>
      </c>
      <c r="L22" s="2" t="s">
        <v>23</v>
      </c>
    </row>
    <row r="23" spans="1:12">
      <c r="A23" s="3" t="s">
        <v>118</v>
      </c>
      <c r="B23" s="3" t="s">
        <v>110</v>
      </c>
      <c r="C23" s="3" t="s">
        <v>111</v>
      </c>
      <c r="D23" s="3" t="s">
        <v>15</v>
      </c>
      <c r="E23" s="3" t="s">
        <v>119</v>
      </c>
      <c r="F23" s="3" t="s">
        <v>120</v>
      </c>
      <c r="G23" s="3" t="s">
        <v>70</v>
      </c>
      <c r="H23" s="3" t="s">
        <v>85</v>
      </c>
      <c r="I23" s="3" t="s">
        <v>121</v>
      </c>
      <c r="J23" s="3"/>
      <c r="K23" s="3"/>
      <c r="L23" s="3" t="s">
        <v>23</v>
      </c>
    </row>
  </sheetData>
  <autoFilter ref="A1:L23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9"/>
  <sheetViews>
    <sheetView tabSelected="0" workbookViewId="0" showGridLines="true" showRowColHeaders="1">
      <selection activeCell="A29" sqref="A29:B29"/>
    </sheetView>
  </sheetViews>
  <sheetFormatPr defaultRowHeight="14.4" outlineLevelRow="0" outlineLevelCol="0"/>
  <cols>
    <col min="1" max="1" width="35" customWidth="true" style="0"/>
    <col min="2" max="2" width="12" customWidth="true" style="0"/>
  </cols>
  <sheetData>
    <row r="1" spans="1:2">
      <c r="A1" s="4" t="s">
        <v>122</v>
      </c>
      <c r="B1" s="4"/>
    </row>
    <row r="2" spans="1:2">
      <c r="A2" s="5" t="s">
        <v>7</v>
      </c>
      <c r="B2" s="5" t="s">
        <v>123</v>
      </c>
    </row>
    <row r="3" spans="1:2">
      <c r="A3" s="6" t="s">
        <v>40</v>
      </c>
      <c r="B3" s="6">
        <v>6</v>
      </c>
    </row>
    <row r="4" spans="1:2">
      <c r="A4" s="6" t="s">
        <v>51</v>
      </c>
      <c r="B4" s="6">
        <v>3</v>
      </c>
    </row>
    <row r="5" spans="1:2">
      <c r="A5" s="6" t="s">
        <v>19</v>
      </c>
      <c r="B5" s="6">
        <v>10</v>
      </c>
    </row>
    <row r="6" spans="1:2">
      <c r="A6" s="6" t="s">
        <v>85</v>
      </c>
      <c r="B6" s="6">
        <v>3</v>
      </c>
    </row>
    <row r="7" spans="1:2">
      <c r="A7" s="5" t="s">
        <v>124</v>
      </c>
      <c r="B7" s="5">
        <f>SUM(B3:B6)</f>
        <v>22</v>
      </c>
    </row>
    <row r="10" spans="1:2">
      <c r="A10" s="4" t="s">
        <v>125</v>
      </c>
      <c r="B10" s="4"/>
    </row>
    <row r="11" spans="1:2">
      <c r="A11" s="5" t="s">
        <v>2</v>
      </c>
      <c r="B11" s="5" t="s">
        <v>123</v>
      </c>
    </row>
    <row r="12" spans="1:2">
      <c r="A12" s="6" t="s">
        <v>14</v>
      </c>
      <c r="B12" s="6">
        <v>12</v>
      </c>
    </row>
    <row r="13" spans="1:2">
      <c r="A13" s="6" t="s">
        <v>79</v>
      </c>
      <c r="B13" s="6">
        <v>5</v>
      </c>
    </row>
    <row r="14" spans="1:2">
      <c r="A14" s="6" t="s">
        <v>111</v>
      </c>
      <c r="B14" s="6">
        <v>3</v>
      </c>
    </row>
    <row r="15" spans="1:2">
      <c r="A15" s="6" t="s">
        <v>48</v>
      </c>
      <c r="B15" s="6">
        <v>2</v>
      </c>
    </row>
    <row r="16" spans="1:2">
      <c r="A16" s="5" t="s">
        <v>124</v>
      </c>
      <c r="B16" s="5">
        <f>SUM(B12:B15)</f>
        <v>22</v>
      </c>
    </row>
    <row r="19" spans="1:2">
      <c r="A19" s="4" t="s">
        <v>126</v>
      </c>
      <c r="B19" s="4"/>
    </row>
    <row r="20" spans="1:2">
      <c r="A20" s="5" t="s">
        <v>127</v>
      </c>
      <c r="B20" s="5" t="s">
        <v>123</v>
      </c>
    </row>
    <row r="21" spans="1:2">
      <c r="A21" s="6" t="s">
        <v>15</v>
      </c>
      <c r="B21" s="6">
        <v>13</v>
      </c>
    </row>
    <row r="22" spans="1:2">
      <c r="A22" s="6" t="s">
        <v>60</v>
      </c>
      <c r="B22" s="6">
        <v>9</v>
      </c>
    </row>
    <row r="23" spans="1:2">
      <c r="A23" s="5" t="s">
        <v>124</v>
      </c>
      <c r="B23" s="5">
        <f>SUM(B21:B22)</f>
        <v>22</v>
      </c>
    </row>
    <row r="26" spans="1:2">
      <c r="A26" s="4" t="s">
        <v>128</v>
      </c>
      <c r="B26" s="4"/>
    </row>
    <row r="27" spans="1:2">
      <c r="A27" s="5" t="s">
        <v>129</v>
      </c>
      <c r="B27" s="5" t="s">
        <v>123</v>
      </c>
    </row>
    <row r="28" spans="1:2">
      <c r="A28" s="6" t="s">
        <v>23</v>
      </c>
      <c r="B28" s="6">
        <v>17</v>
      </c>
    </row>
    <row r="29" spans="1:2">
      <c r="A29" s="5" t="s">
        <v>124</v>
      </c>
      <c r="B29" s="5">
        <f>SUM(B28:B28)</f>
        <v>17</v>
      </c>
    </row>
  </sheetData>
  <mergeCells>
    <mergeCell ref="A1:B1"/>
    <mergeCell ref="A10:B10"/>
    <mergeCell ref="A19:B19"/>
    <mergeCell ref="A26:B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Registros de Tickets</vt:lpstr>
      <vt:lpstr>Estadísticas y Gráficas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2026-01-30T10:14:09-06:00</dcterms:created>
  <dcterms:modified xsi:type="dcterms:W3CDTF">2026-01-30T10:14:09-06:00</dcterms:modified>
  <dc:title>Untitled Spreadsheet</dc:title>
  <dc:description/>
  <dc:subject/>
  <cp:keywords/>
  <cp:category/>
</cp:coreProperties>
</file>